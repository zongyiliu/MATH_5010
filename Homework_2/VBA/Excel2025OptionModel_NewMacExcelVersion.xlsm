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9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go/Desktop/5010_金數入門/Homework_2/untitled folder/"/>
    </mc:Choice>
  </mc:AlternateContent>
  <xr:revisionPtr revIDLastSave="0" documentId="13_ncr:1_{F669CACD-033C-8E4F-8004-9AFE29516E3F}" xr6:coauthVersionLast="47" xr6:coauthVersionMax="47" xr10:uidLastSave="{00000000-0000-0000-0000-000000000000}"/>
  <bookViews>
    <workbookView xWindow="12360" yWindow="500" windowWidth="16440" windowHeight="14520" tabRatio="500" xr2:uid="{00000000-000D-0000-FFFF-FFFF00000000}"/>
  </bookViews>
  <sheets>
    <sheet name="Sheet1" sheetId="1" r:id="rId1"/>
  </sheets>
  <functionGroups builtInGroupCount="19"/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" i="1" l="1"/>
  <c r="M17" i="1"/>
  <c r="L17" i="1"/>
  <c r="K17" i="1"/>
  <c r="J17" i="1"/>
  <c r="I17" i="1"/>
  <c r="H17" i="1"/>
  <c r="D17" i="1"/>
  <c r="M16" i="1"/>
  <c r="L16" i="1"/>
  <c r="K16" i="1"/>
  <c r="J16" i="1"/>
  <c r="I16" i="1"/>
  <c r="H16" i="1"/>
  <c r="D16" i="1"/>
  <c r="M9" i="1"/>
  <c r="L9" i="1"/>
  <c r="K9" i="1"/>
  <c r="J9" i="1"/>
  <c r="I9" i="1"/>
  <c r="H9" i="1"/>
  <c r="M8" i="1"/>
  <c r="L8" i="1"/>
  <c r="K8" i="1"/>
  <c r="J8" i="1"/>
  <c r="I8" i="1"/>
  <c r="B1" i="1"/>
</calcChain>
</file>

<file path=xl/sharedStrings.xml><?xml version="1.0" encoding="utf-8"?>
<sst xmlns="http://schemas.openxmlformats.org/spreadsheetml/2006/main" count="42" uniqueCount="27">
  <si>
    <t>Today:</t>
  </si>
  <si>
    <t>Answers are given in the red fields</t>
  </si>
  <si>
    <t>Black 76 European Options on Futures Model</t>
  </si>
  <si>
    <t>Interest</t>
  </si>
  <si>
    <t>(1y=365d)</t>
  </si>
  <si>
    <t>Futures Price</t>
  </si>
  <si>
    <t xml:space="preserve">Strike Price </t>
  </si>
  <si>
    <t>Lognormal Vol</t>
  </si>
  <si>
    <t>rate</t>
  </si>
  <si>
    <t>Years To Exp</t>
  </si>
  <si>
    <t>Call/Put</t>
  </si>
  <si>
    <t>Price</t>
  </si>
  <si>
    <t>Delta</t>
  </si>
  <si>
    <t xml:space="preserve">Gamma  </t>
  </si>
  <si>
    <t>1% Vega</t>
  </si>
  <si>
    <t>1 day Theta</t>
  </si>
  <si>
    <t>1% Rho</t>
  </si>
  <si>
    <t>c</t>
  </si>
  <si>
    <t>p</t>
  </si>
  <si>
    <t>Normal Distribution European Options on Futures Model</t>
  </si>
  <si>
    <t>Annual</t>
  </si>
  <si>
    <t>St.Deviation</t>
  </si>
  <si>
    <t>Vega for 0.01$</t>
  </si>
  <si>
    <t>At Expiration</t>
  </si>
  <si>
    <t>Ann StDv Change</t>
  </si>
  <si>
    <t>Enter Blue Fields then recalculate (Shift+F9) in windows, (command + =) in mac</t>
  </si>
  <si>
    <t>dividens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</si>
</sst>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53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2" fillId="2" borderId="0" xfId="0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2" fontId="3" fillId="2" borderId="0" xfId="0" applyNumberFormat="1" applyFont="1" applyFill="1" applyAlignment="1">
      <alignment horizontal="center"/>
    </xf>
    <xf numFmtId="10" fontId="3" fillId="2" borderId="0" xfId="1" applyNumberFormat="1" applyFon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0" fontId="4" fillId="2" borderId="0" xfId="1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5" fontId="6" fillId="2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"/>
  <sheetViews>
    <sheetView tabSelected="1" zoomScale="138" workbookViewId="0">
      <selection activeCell="K3" sqref="K3"/>
    </sheetView>
  </sheetViews>
  <sheetFormatPr baseColWidth="10" defaultRowHeight="16" x14ac:dyDescent="0.2"/>
  <sheetData>
    <row r="1" spans="1:13" x14ac:dyDescent="0.2">
      <c r="A1" s="1" t="s">
        <v>0</v>
      </c>
      <c r="B1" s="2">
        <f ca="1">TODAY()</f>
        <v>45719</v>
      </c>
      <c r="C1" s="1"/>
      <c r="D1" s="3" t="s">
        <v>25</v>
      </c>
      <c r="E1" s="3"/>
      <c r="F1" s="1"/>
      <c r="G1" s="1"/>
      <c r="H1" s="1"/>
    </row>
    <row r="2" spans="1:13" x14ac:dyDescent="0.2">
      <c r="A2" s="1"/>
      <c r="B2" s="1"/>
      <c r="C2" s="1"/>
      <c r="D2" s="4" t="s">
        <v>1</v>
      </c>
      <c r="E2" s="4"/>
      <c r="F2" s="4"/>
      <c r="G2" s="1"/>
      <c r="H2" s="1"/>
    </row>
    <row r="3" spans="1:13" x14ac:dyDescent="0.2">
      <c r="A3" s="1"/>
      <c r="B3" s="1"/>
      <c r="C3" s="1"/>
      <c r="D3" s="1"/>
      <c r="E3" s="1"/>
      <c r="F3" s="1"/>
      <c r="G3" s="1"/>
      <c r="H3" s="1"/>
    </row>
    <row r="4" spans="1:13" x14ac:dyDescent="0.2">
      <c r="A4" s="5" t="s">
        <v>2</v>
      </c>
      <c r="B4" s="5"/>
      <c r="C4" s="5"/>
      <c r="D4" s="6"/>
      <c r="E4" s="6"/>
      <c r="F4" s="6"/>
      <c r="G4" s="6"/>
      <c r="H4" s="7"/>
      <c r="I4" s="7"/>
      <c r="J4" s="7"/>
      <c r="K4" s="7"/>
      <c r="L4" s="7"/>
      <c r="M4" s="7"/>
    </row>
    <row r="5" spans="1:13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2">
      <c r="A6" s="8"/>
      <c r="B6" s="8"/>
      <c r="C6" s="8"/>
      <c r="D6" s="9"/>
      <c r="E6" s="8" t="s">
        <v>3</v>
      </c>
      <c r="F6" s="9"/>
      <c r="G6" s="8"/>
      <c r="H6" s="8"/>
      <c r="I6" s="8"/>
      <c r="J6" s="8"/>
      <c r="K6" s="8"/>
      <c r="L6" s="8" t="s">
        <v>4</v>
      </c>
      <c r="M6" s="8"/>
    </row>
    <row r="7" spans="1:13" x14ac:dyDescent="0.2">
      <c r="A7" s="8" t="s">
        <v>5</v>
      </c>
      <c r="B7" s="8" t="s">
        <v>6</v>
      </c>
      <c r="C7" s="8" t="s">
        <v>7</v>
      </c>
      <c r="D7" s="8" t="s">
        <v>26</v>
      </c>
      <c r="E7" s="8" t="s">
        <v>8</v>
      </c>
      <c r="F7" s="8" t="s">
        <v>9</v>
      </c>
      <c r="G7" s="8" t="s">
        <v>10</v>
      </c>
      <c r="H7" s="8" t="s">
        <v>11</v>
      </c>
      <c r="I7" s="8" t="s">
        <v>12</v>
      </c>
      <c r="J7" s="8" t="s">
        <v>13</v>
      </c>
      <c r="K7" s="8" t="s">
        <v>14</v>
      </c>
      <c r="L7" s="8" t="s">
        <v>15</v>
      </c>
      <c r="M7" s="8" t="s">
        <v>16</v>
      </c>
    </row>
    <row r="8" spans="1:13" x14ac:dyDescent="0.2">
      <c r="A8" s="10">
        <v>19</v>
      </c>
      <c r="B8" s="10">
        <v>19</v>
      </c>
      <c r="C8" s="11">
        <v>0.28000000000000003</v>
      </c>
      <c r="D8" s="9">
        <v>0.2</v>
      </c>
      <c r="E8" s="11">
        <v>5.8999999999999997E-2</v>
      </c>
      <c r="F8" s="12">
        <v>0.75</v>
      </c>
      <c r="G8" s="13" t="s">
        <v>17</v>
      </c>
      <c r="H8" s="14">
        <f>Black76(G8, A8,B8,F8,E8,C8)</f>
        <v>1.7541721655698979</v>
      </c>
      <c r="I8" s="15">
        <f>(Black76(G8, A8+0.00001,B8,F8,E8,C8)-Black76(G8, A8-0.00001,B8,F8,E8,C8))/0.00002</f>
        <v>0.52451979982715002</v>
      </c>
      <c r="J8" s="14">
        <f>(Black76(G8,A8+0.0001,B8,F8,E8,C8)-2*Black76(G8,A8,B8,F8,E8,C8)+Black76(G8,A8-0.0001,B8,F8,E8,C8))/(0.0001*0.0001)</f>
        <v>8.2225337649788344E-2</v>
      </c>
      <c r="K8" s="14">
        <f>(Black76(G8, A8,B8,F8,E8,C8+0.005)-Black76(G8, A8,B8,F8,E8,C8-0.005))</f>
        <v>6.2342398693074008E-2</v>
      </c>
      <c r="L8" s="16">
        <f>(Black76(G8, A8,B8,F8-1/365,E8,C8)-Black76(G8, A8,B8,F8,E8,C8))</f>
        <v>-2.908191231110413E-3</v>
      </c>
      <c r="M8" s="14">
        <f>(Black76(G8, A8,B8,F8,E8+0.01,C8)-Black76(G8, A8,B8,F8,E8,C8))</f>
        <v>-1.3107078258931537E-2</v>
      </c>
    </row>
    <row r="9" spans="1:13" x14ac:dyDescent="0.2">
      <c r="A9" s="10">
        <v>19</v>
      </c>
      <c r="B9" s="10">
        <v>19</v>
      </c>
      <c r="C9" s="11">
        <v>0.28000000000000003</v>
      </c>
      <c r="D9" s="9"/>
      <c r="E9" s="11">
        <v>5.8999999999999997E-2</v>
      </c>
      <c r="F9" s="12">
        <v>0.75</v>
      </c>
      <c r="G9" s="13" t="s">
        <v>18</v>
      </c>
      <c r="H9" s="14">
        <f>Black76(G9, A9,B9,F9,E9,C9)</f>
        <v>1.7541721655698979</v>
      </c>
      <c r="I9" s="15">
        <f>(Black76(G9, A9+0.00001,B9,F9,E9,C9)-Black76(G9, A9-0.00001,B9,F9,E9,C9))/0.00002</f>
        <v>-0.43219494901824967</v>
      </c>
      <c r="J9" s="14">
        <f>(Black76(G9,A9+0.0001,B9,F9,E9,C9)-2*Black76(G9,A9,B9,F9,E9,C9)+Black76(G9,A9-0.0001,B9,F9,E9,C9))/(0.0001*0.0001)</f>
        <v>8.2225337649788344E-2</v>
      </c>
      <c r="K9" s="14">
        <f>(Black76(G9, A9,B9,F9,E9,C9+0.005)-Black76(G9, A9,B9,F9,E9,C9-0.005))</f>
        <v>6.2342398693074008E-2</v>
      </c>
      <c r="L9" s="16">
        <f>(Black76(G9, A9,B9,F9-1/365,E9,C9)-Black76(G9, A9,B9,F9,E9,C9))</f>
        <v>-2.908191231110413E-3</v>
      </c>
      <c r="M9" s="14">
        <f>(Black76(G9, A9,B9,F9,E9+0.01,C9)-Black76(G9, A9,B9,F9,E9,C9))</f>
        <v>-1.3107078258931537E-2</v>
      </c>
    </row>
    <row r="10" spans="1:13" x14ac:dyDescent="0.2">
      <c r="A10" s="6"/>
      <c r="B10" s="6"/>
      <c r="C10" s="6"/>
      <c r="D10" s="9"/>
      <c r="E10" s="6"/>
      <c r="F10" s="6"/>
      <c r="G10" s="6"/>
      <c r="H10" s="6"/>
      <c r="I10" s="6"/>
      <c r="J10" s="6"/>
      <c r="K10" s="6"/>
      <c r="L10" s="6"/>
      <c r="M10" s="6"/>
    </row>
    <row r="12" spans="1:13" x14ac:dyDescent="0.2">
      <c r="A12" s="5" t="s">
        <v>19</v>
      </c>
      <c r="B12" s="5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">
      <c r="A14" s="8"/>
      <c r="B14" s="8"/>
      <c r="C14" s="8" t="s">
        <v>20</v>
      </c>
      <c r="D14" s="8" t="s">
        <v>21</v>
      </c>
      <c r="E14" s="8" t="s">
        <v>3</v>
      </c>
      <c r="F14" s="9"/>
      <c r="G14" s="8"/>
      <c r="H14" s="8"/>
      <c r="I14" s="8"/>
      <c r="J14" s="8"/>
      <c r="K14" s="8" t="s">
        <v>22</v>
      </c>
      <c r="L14" s="8" t="s">
        <v>4</v>
      </c>
      <c r="M14" s="6"/>
    </row>
    <row r="15" spans="1:13" x14ac:dyDescent="0.2">
      <c r="A15" s="8" t="s">
        <v>5</v>
      </c>
      <c r="B15" s="8" t="s">
        <v>6</v>
      </c>
      <c r="C15" s="8" t="s">
        <v>21</v>
      </c>
      <c r="D15" s="8" t="s">
        <v>23</v>
      </c>
      <c r="E15" s="8" t="s">
        <v>8</v>
      </c>
      <c r="F15" s="8" t="s">
        <v>9</v>
      </c>
      <c r="G15" s="8" t="s">
        <v>10</v>
      </c>
      <c r="H15" s="8" t="s">
        <v>11</v>
      </c>
      <c r="I15" s="8" t="s">
        <v>12</v>
      </c>
      <c r="J15" s="8" t="s">
        <v>13</v>
      </c>
      <c r="K15" s="8" t="s">
        <v>24</v>
      </c>
      <c r="L15" s="8" t="s">
        <v>15</v>
      </c>
      <c r="M15" s="8" t="s">
        <v>16</v>
      </c>
    </row>
    <row r="16" spans="1:13" x14ac:dyDescent="0.2">
      <c r="A16" s="10">
        <v>19</v>
      </c>
      <c r="B16" s="10">
        <v>19</v>
      </c>
      <c r="C16" s="12">
        <v>5.32</v>
      </c>
      <c r="D16" s="17">
        <f>C16*SQRT(F16)</f>
        <v>4.6072551481332136</v>
      </c>
      <c r="E16" s="11">
        <v>5.8999999999999997E-2</v>
      </c>
      <c r="F16" s="12">
        <v>0.75</v>
      </c>
      <c r="G16" s="13" t="s">
        <v>17</v>
      </c>
      <c r="H16" s="14">
        <f>NormFutOpt(G16, A16,B16,F16,E16,C16)</f>
        <v>1.7584693337702273</v>
      </c>
      <c r="I16" s="15">
        <f>(NormFutOpt(G16, A16+0.00001,B16,F16,E16,C16)-NormFutOpt(G16, A16-0.00001,B16,F16,E16,C16))/0.00002</f>
        <v>0.47835737442269982</v>
      </c>
      <c r="J16" s="14">
        <f>(NormFutOpt(G16,A16+0.0001,B16,F16,E16,C16)-2*NormFutOpt(G16,A16,B16,F16,E16,C16)+NormFutOpt(G16,A16-0.0001,B16,F16,E16,C16))/(0.0001*0.0001)</f>
        <v>8.2853057747911407E-2</v>
      </c>
      <c r="K16" s="14">
        <f>(NormFutOpt(G16, A16,B16,F16,E16,C16+0.005)-NormFutOpt(G16, A16,B16,F16,E16,C16-0.005))</f>
        <v>3.3053934845304056E-3</v>
      </c>
      <c r="L16" s="16">
        <f>(NormFutOpt(G16, A16,B16,F16-1/365,E16,C16)-NormFutOpt(G16, A16,B16,F16,E16,C16))</f>
        <v>-2.9310056546316687E-3</v>
      </c>
      <c r="M16" s="14">
        <f>(NormFutOpt(G16, A16,B16,F16,E16+0.01,C16)-NormFutOpt(G16, A16,B16,F16,E16,C16))</f>
        <v>-1.313918646415746E-2</v>
      </c>
    </row>
    <row r="17" spans="1:13" x14ac:dyDescent="0.2">
      <c r="A17" s="10">
        <v>19</v>
      </c>
      <c r="B17" s="10">
        <v>19</v>
      </c>
      <c r="C17" s="12">
        <v>5.32</v>
      </c>
      <c r="D17" s="17">
        <f>C17*SQRT(F17)</f>
        <v>4.6072551481332136</v>
      </c>
      <c r="E17" s="11">
        <v>5.8999999999999997E-2</v>
      </c>
      <c r="F17" s="12">
        <v>0.75</v>
      </c>
      <c r="G17" s="13" t="s">
        <v>18</v>
      </c>
      <c r="H17" s="14">
        <f>NormFutOpt(G17, A17,B17,F17,E17,C17)</f>
        <v>1.7584693337702273</v>
      </c>
      <c r="I17" s="15">
        <f>(NormFutOpt(G17, A17+0.00001,B17,F17,E17,C17)-NormFutOpt(G17, A17-0.00001,B17,F17,E17,C17))/0.00002</f>
        <v>-0.47835737442269982</v>
      </c>
      <c r="J17" s="14">
        <f>(NormFutOpt(G17,A17+0.0001,B17,F17,E17,C17)-2*NormFutOpt(G17,A17,B17,F17,E17,C17)+NormFutOpt(G17,A17-0.0001,B17,F17,E17,C17))/(0.0001*0.0001)</f>
        <v>8.2853057747911407E-2</v>
      </c>
      <c r="K17" s="14">
        <f>(NormFutOpt(G17, A17,B17,F17,E17,C17+0.005)-NormFutOpt(G17, A17,B17,F17,E17,C17-0.005))</f>
        <v>3.3053934845304056E-3</v>
      </c>
      <c r="L17" s="16">
        <f>(NormFutOpt(G17, A17,B17,F17-1/365,E17,C17)-NormFutOpt(G17, A17,B17,F17,E17,C17))</f>
        <v>-2.9310056546316687E-3</v>
      </c>
      <c r="M17" s="14">
        <f>(NormFutOpt(G17, A17,B17,F17,E17+0.01,C17)-NormFutOpt(G17, A17,B17,F17,E17,C17))</f>
        <v>-1.313918646415746E-2</v>
      </c>
    </row>
    <row r="18" spans="1:13" x14ac:dyDescent="0.2">
      <c r="A18" s="6"/>
      <c r="B18" s="6"/>
      <c r="C18" s="6"/>
      <c r="D18" s="9"/>
      <c r="E18" s="6"/>
      <c r="F18" s="6"/>
      <c r="G18" s="6"/>
      <c r="H18" s="6"/>
      <c r="I18" s="6"/>
      <c r="J18" s="6"/>
      <c r="K18" s="6"/>
      <c r="L18" s="6"/>
      <c r="M18" s="6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Zongyi Liu</cp:lastModifiedBy>
  <dcterms:created xsi:type="dcterms:W3CDTF">2016-10-05T16:19:30Z</dcterms:created>
  <dcterms:modified xsi:type="dcterms:W3CDTF">2025-03-04T00:53:35Z</dcterms:modified>
</cp:coreProperties>
</file>